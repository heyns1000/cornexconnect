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antha/Documents/Heyns/eps costing file/"/>
    </mc:Choice>
  </mc:AlternateContent>
  <xr:revisionPtr revIDLastSave="0" documentId="8_{A369D10B-2F1A-D744-BC89-E55DBCC9D388}" xr6:coauthVersionLast="47" xr6:coauthVersionMax="47" xr10:uidLastSave="{00000000-0000-0000-0000-000000000000}"/>
  <bookViews>
    <workbookView xWindow="0" yWindow="500" windowWidth="51200" windowHeight="26600" xr2:uid="{0687771C-FFF0-5242-B3C4-6E5BFF5B41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 s="1"/>
  <c r="I3" i="1" s="1"/>
  <c r="C4" i="1"/>
  <c r="D4" i="1" s="1"/>
  <c r="I4" i="1" s="1"/>
  <c r="C5" i="1"/>
  <c r="D5" i="1" s="1"/>
  <c r="I5" i="1" s="1"/>
  <c r="C2" i="1"/>
  <c r="F2" i="1" s="1"/>
  <c r="D2" i="1" l="1"/>
  <c r="E3" i="1"/>
  <c r="F3" i="1"/>
  <c r="G5" i="1"/>
  <c r="H5" i="1"/>
  <c r="E2" i="1"/>
  <c r="G4" i="1"/>
  <c r="H4" i="1"/>
  <c r="E5" i="1"/>
  <c r="F5" i="1"/>
  <c r="G3" i="1"/>
  <c r="H3" i="1"/>
  <c r="E4" i="1"/>
  <c r="F4" i="1"/>
  <c r="I8" i="1" l="1"/>
  <c r="H8" i="1"/>
  <c r="G8" i="1"/>
  <c r="I9" i="1"/>
  <c r="H9" i="1"/>
  <c r="G9" i="1"/>
  <c r="I10" i="1"/>
  <c r="H10" i="1"/>
  <c r="G10" i="1"/>
  <c r="I11" i="1"/>
  <c r="H11" i="1"/>
  <c r="G11" i="1"/>
  <c r="G2" i="1"/>
  <c r="I2" i="1"/>
  <c r="H2" i="1"/>
</calcChain>
</file>

<file path=xl/sharedStrings.xml><?xml version="1.0" encoding="utf-8"?>
<sst xmlns="http://schemas.openxmlformats.org/spreadsheetml/2006/main" count="5" uniqueCount="4">
  <si>
    <t>cost</t>
  </si>
  <si>
    <t>boks +inserts</t>
  </si>
  <si>
    <t>New dead cost</t>
  </si>
  <si>
    <t>sell 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</si>
</sst>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-1C09]* #,##0.00_-;\-[$R-1C09]* #,##0.00_-;_-[$R-1C09]* &quot;-&quot;??_-;_-@_-"/>
  </numFmts>
  <fonts count="1" x14ac:knownFonts="1"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9" fontId="0" fillId="0" borderId="0" xfId="0" applyNumberFormat="1"/>
    <xf numFmtId="164" fontId="0" fillId="2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3E5FC-6D19-BE42-8B6F-99D3789D03BF}">
  <dimension ref="A1:J11"/>
  <sheetViews>
    <sheetView tabSelected="1" workbookViewId="0">
      <selection activeCell="L11" sqref="L11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s="2">
        <v>0.2</v>
      </c>
      <c r="E1" s="2">
        <v>0.05</v>
      </c>
      <c r="F1" s="2">
        <v>0.05</v>
      </c>
      <c r="G1" t="s">
        <v>3</v>
      </c>
      <c r="H1" s="2">
        <v>0.25</v>
      </c>
      <c r="I1" s="2">
        <v>0.3</v>
      </c>
      <c r="J1" s="2"/>
    </row>
    <row r="2" spans="1:10" x14ac:dyDescent="0.2">
      <c r="A2" s="1">
        <v>4.58</v>
      </c>
      <c r="B2" s="1">
        <v>0.7</v>
      </c>
      <c r="C2" s="1">
        <f>SUM(A2+B2)</f>
        <v>5.28</v>
      </c>
      <c r="D2" s="3">
        <f>SUM(C2*1.2)</f>
        <v>6.3360000000000003</v>
      </c>
      <c r="E2" s="4">
        <f>SUM(C2*1.25)</f>
        <v>6.6000000000000005</v>
      </c>
      <c r="F2" s="5">
        <f>SUM(C2*1.3)</f>
        <v>6.8640000000000008</v>
      </c>
      <c r="G2" s="3">
        <f>SUM(D2*1.2)</f>
        <v>7.6032000000000002</v>
      </c>
      <c r="H2" s="4">
        <f>SUM(D2*1.25)</f>
        <v>7.92</v>
      </c>
      <c r="I2" s="5">
        <f>SUM(D2*1.3)</f>
        <v>8.2368000000000006</v>
      </c>
    </row>
    <row r="3" spans="1:10" x14ac:dyDescent="0.2">
      <c r="A3" s="1">
        <v>6.93</v>
      </c>
      <c r="B3" s="1">
        <v>0.7</v>
      </c>
      <c r="C3" s="1">
        <f t="shared" ref="C3:C5" si="0">SUM(A3+B3)</f>
        <v>7.63</v>
      </c>
      <c r="D3" s="3">
        <f t="shared" ref="D3:D5" si="1">SUM(C3*1.2)</f>
        <v>9.1559999999999988</v>
      </c>
      <c r="E3" s="4">
        <f t="shared" ref="E3:E5" si="2">SUM(C3*1.25)</f>
        <v>9.5374999999999996</v>
      </c>
      <c r="F3" s="5">
        <f t="shared" ref="F3:F5" si="3">SUM(C3*1.3)</f>
        <v>9.9190000000000005</v>
      </c>
      <c r="G3" s="3">
        <f t="shared" ref="G3:G5" si="4">SUM(D3*1.2)</f>
        <v>10.987199999999998</v>
      </c>
      <c r="H3" s="4">
        <f t="shared" ref="H3:H5" si="5">SUM(D3*1.25)</f>
        <v>11.444999999999999</v>
      </c>
      <c r="I3" s="5">
        <f t="shared" ref="I3:I5" si="6">SUM(D3*1.3)</f>
        <v>11.902799999999999</v>
      </c>
    </row>
    <row r="4" spans="1:10" x14ac:dyDescent="0.2">
      <c r="A4" s="1">
        <v>8.7200000000000006</v>
      </c>
      <c r="B4" s="1">
        <v>0.7</v>
      </c>
      <c r="C4" s="1">
        <f t="shared" si="0"/>
        <v>9.42</v>
      </c>
      <c r="D4" s="3">
        <f t="shared" si="1"/>
        <v>11.304</v>
      </c>
      <c r="E4" s="4">
        <f t="shared" si="2"/>
        <v>11.775</v>
      </c>
      <c r="F4" s="5">
        <f t="shared" si="3"/>
        <v>12.246</v>
      </c>
      <c r="G4" s="3">
        <f t="shared" si="4"/>
        <v>13.5648</v>
      </c>
      <c r="H4" s="4">
        <f t="shared" si="5"/>
        <v>14.13</v>
      </c>
      <c r="I4" s="5">
        <f t="shared" si="6"/>
        <v>14.695200000000002</v>
      </c>
    </row>
    <row r="5" spans="1:10" x14ac:dyDescent="0.2">
      <c r="A5" s="1">
        <v>12.31</v>
      </c>
      <c r="B5" s="1">
        <v>0.7</v>
      </c>
      <c r="C5" s="1">
        <f t="shared" si="0"/>
        <v>13.01</v>
      </c>
      <c r="D5" s="3">
        <f t="shared" si="1"/>
        <v>15.611999999999998</v>
      </c>
      <c r="E5" s="4">
        <f t="shared" si="2"/>
        <v>16.262499999999999</v>
      </c>
      <c r="F5" s="5">
        <f t="shared" si="3"/>
        <v>16.913</v>
      </c>
      <c r="G5" s="3">
        <f t="shared" si="4"/>
        <v>18.734399999999997</v>
      </c>
      <c r="H5" s="4">
        <f t="shared" si="5"/>
        <v>19.514999999999997</v>
      </c>
      <c r="I5" s="5">
        <f t="shared" si="6"/>
        <v>20.295599999999997</v>
      </c>
    </row>
    <row r="7" spans="1:10" x14ac:dyDescent="0.2">
      <c r="G7" t="s">
        <v>3</v>
      </c>
      <c r="H7" s="2">
        <v>0.25</v>
      </c>
      <c r="I7" s="2">
        <v>0.3</v>
      </c>
    </row>
    <row r="8" spans="1:10" x14ac:dyDescent="0.2">
      <c r="D8" s="6"/>
      <c r="G8" s="3">
        <f>SUM(E2*1.2)</f>
        <v>7.92</v>
      </c>
      <c r="H8" s="4">
        <f>SUM(E2*1.25)</f>
        <v>8.25</v>
      </c>
      <c r="I8" s="5">
        <f>SUM(E2*1.3)</f>
        <v>8.5800000000000018</v>
      </c>
    </row>
    <row r="9" spans="1:10" x14ac:dyDescent="0.2">
      <c r="D9" s="6"/>
      <c r="G9" s="3">
        <f t="shared" ref="G9:G11" si="7">SUM(E3*1.2)</f>
        <v>11.444999999999999</v>
      </c>
      <c r="H9" s="4">
        <f t="shared" ref="H9:H11" si="8">SUM(E3*1.25)</f>
        <v>11.921875</v>
      </c>
      <c r="I9" s="5">
        <f t="shared" ref="I9:I11" si="9">SUM(E3*1.3)</f>
        <v>12.39875</v>
      </c>
    </row>
    <row r="10" spans="1:10" x14ac:dyDescent="0.2">
      <c r="D10" s="6"/>
      <c r="G10" s="3">
        <f t="shared" si="7"/>
        <v>14.13</v>
      </c>
      <c r="H10" s="4">
        <f t="shared" si="8"/>
        <v>14.71875</v>
      </c>
      <c r="I10" s="5">
        <f t="shared" si="9"/>
        <v>15.307500000000001</v>
      </c>
    </row>
    <row r="11" spans="1:10" x14ac:dyDescent="0.2">
      <c r="D11" s="6"/>
      <c r="G11" s="3">
        <f t="shared" si="7"/>
        <v>19.514999999999997</v>
      </c>
      <c r="H11" s="4">
        <f t="shared" si="8"/>
        <v>20.328125</v>
      </c>
      <c r="I11" s="5">
        <f t="shared" si="9"/>
        <v>21.141249999999999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ford</dc:creator>
  <cp:lastModifiedBy>Sam ford</cp:lastModifiedBy>
  <dcterms:created xsi:type="dcterms:W3CDTF">2024-04-23T18:07:09Z</dcterms:created>
  <dcterms:modified xsi:type="dcterms:W3CDTF">2024-04-25T06:49:30Z</dcterms:modified>
</cp:coreProperties>
</file>